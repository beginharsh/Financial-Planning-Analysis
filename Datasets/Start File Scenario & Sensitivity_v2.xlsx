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rtfolio Projects\"/>
    </mc:Choice>
  </mc:AlternateContent>
  <xr:revisionPtr revIDLastSave="0" documentId="13_ncr:1_{8E6E866B-BD0D-4C66-ABC5-7597D5C3D7C9}" xr6:coauthVersionLast="47" xr6:coauthVersionMax="47" xr10:uidLastSave="{00000000-0000-0000-0000-000000000000}"/>
  <bookViews>
    <workbookView xWindow="-120" yWindow="-120" windowWidth="20730" windowHeight="11040" activeTab="2" xr2:uid="{A7932AF8-220C-AD45-84A0-37C744945D28}"/>
  </bookViews>
  <sheets>
    <sheet name="Goal Seek" sheetId="1" r:id="rId1"/>
    <sheet name="Sensitivity" sheetId="4" r:id="rId2"/>
    <sheet name="Scenario" sheetId="3" r:id="rId3"/>
  </sheets>
  <definedNames>
    <definedName name="solver_adj" localSheetId="0" hidden="1">'Goal Seek'!$C$5:$C$6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'Goal Seek'!$C$5</definedName>
    <definedName name="solver_lhs2" localSheetId="0" hidden="1">'Goal Seek'!$C$6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'Goal Seek'!$F$11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'Goal Seek'!$C$13</definedName>
    <definedName name="solver_rhs2" localSheetId="0" hidden="1">'Goal Seek'!$C$14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100000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3" l="1"/>
  <c r="E5" i="3"/>
  <c r="C5" i="3"/>
  <c r="D4" i="3"/>
  <c r="D6" i="3" s="1"/>
  <c r="E4" i="3"/>
  <c r="E6" i="3" s="1"/>
  <c r="C4" i="3"/>
  <c r="C6" i="3" s="1"/>
  <c r="D3" i="3"/>
  <c r="E3" i="3" s="1"/>
  <c r="I9" i="4"/>
  <c r="I8" i="4"/>
  <c r="I5" i="4"/>
  <c r="I6" i="4"/>
  <c r="N4" i="4"/>
  <c r="M4" i="4"/>
  <c r="J4" i="4"/>
  <c r="K4" i="4"/>
  <c r="F8" i="1" l="1"/>
  <c r="F6" i="1"/>
  <c r="F5" i="1"/>
  <c r="F5" i="4"/>
  <c r="F6" i="4"/>
  <c r="F7" i="4" s="1"/>
  <c r="F9" i="4" s="1"/>
  <c r="F8" i="4"/>
  <c r="F10" i="4" l="1"/>
  <c r="F11" i="4"/>
  <c r="I4" i="4" s="1"/>
  <c r="F7" i="1"/>
  <c r="F9" i="1" s="1"/>
  <c r="F10" i="1" s="1"/>
  <c r="F11" i="1" s="1"/>
</calcChain>
</file>

<file path=xl/sharedStrings.xml><?xml version="1.0" encoding="utf-8"?>
<sst xmlns="http://schemas.openxmlformats.org/spreadsheetml/2006/main" count="52" uniqueCount="33">
  <si>
    <t>Scenario Analysis</t>
  </si>
  <si>
    <t>Goal Seek</t>
  </si>
  <si>
    <t>Sensitivity Analysis</t>
  </si>
  <si>
    <t>Gross Profit</t>
  </si>
  <si>
    <t>$ in actual figures</t>
  </si>
  <si>
    <t>COGS</t>
  </si>
  <si>
    <t>Income Statement</t>
  </si>
  <si>
    <t>Revenue</t>
  </si>
  <si>
    <t>Taxes</t>
  </si>
  <si>
    <t>Revenues</t>
  </si>
  <si>
    <t>Net Income (Loss)</t>
  </si>
  <si>
    <t>Revenue Scenarios</t>
  </si>
  <si>
    <t>Costs</t>
  </si>
  <si>
    <t>Cost Scenarios</t>
  </si>
  <si>
    <t>1. Best Case</t>
  </si>
  <si>
    <t>2. Base Case</t>
  </si>
  <si>
    <t>3. Worst Case</t>
  </si>
  <si>
    <t>Quantity Sold</t>
  </si>
  <si>
    <t>Price per Unit</t>
  </si>
  <si>
    <t>Assumptions</t>
  </si>
  <si>
    <t>Price per unit</t>
  </si>
  <si>
    <t>Cost per unit</t>
  </si>
  <si>
    <t>Units sold</t>
  </si>
  <si>
    <t>SG&amp;A</t>
  </si>
  <si>
    <t>Tax rate</t>
  </si>
  <si>
    <t>Earnings Before Tax</t>
  </si>
  <si>
    <t>Price &amp; Quantity Sensitivity</t>
  </si>
  <si>
    <t>constraints</t>
  </si>
  <si>
    <t xml:space="preserve">Net Income </t>
  </si>
  <si>
    <t>Unit Sold</t>
  </si>
  <si>
    <t xml:space="preserve">Price </t>
  </si>
  <si>
    <t xml:space="preserve">  </t>
  </si>
  <si>
    <t>Choose Scenario -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</si>
</sst>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.00_);_(* \(#,##0.00\);_(* &quot;-&quot;??_);_(@_)"/>
    <numFmt numFmtId="166" formatCode="_(* #,##0_);_(* \(#,##0\);_(* &quot;-&quot;??_);_(@_)"/>
    <numFmt numFmtId="167" formatCode="yyyy\E"/>
    <numFmt numFmtId="169" formatCode="_-* #,##0\ _€_-;\-* #,##0\ _€_-;_-* &quot;-&quot;?\ _€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0" fillId="0" borderId="0" xfId="0" applyAlignment="1">
      <alignment horizontal="left" indent="1"/>
    </xf>
    <xf numFmtId="166" fontId="0" fillId="0" borderId="0" xfId="1" applyNumberFormat="1" applyFont="1"/>
    <xf numFmtId="0" fontId="0" fillId="2" borderId="0" xfId="0" applyFill="1"/>
    <xf numFmtId="0" fontId="0" fillId="2" borderId="0" xfId="0" applyFill="1" applyAlignment="1">
      <alignment horizontal="left" indent="1"/>
    </xf>
    <xf numFmtId="166" fontId="0" fillId="0" borderId="1" xfId="1" applyNumberFormat="1" applyFont="1" applyBorder="1"/>
    <xf numFmtId="167" fontId="2" fillId="4" borderId="0" xfId="0" applyNumberFormat="1" applyFont="1" applyFill="1"/>
    <xf numFmtId="167" fontId="0" fillId="2" borderId="0" xfId="0" applyNumberFormat="1" applyFill="1"/>
    <xf numFmtId="0" fontId="3" fillId="3" borderId="1" xfId="0" applyFont="1" applyFill="1" applyBorder="1"/>
    <xf numFmtId="166" fontId="3" fillId="3" borderId="1" xfId="1" applyNumberFormat="1" applyFont="1" applyFill="1" applyBorder="1"/>
    <xf numFmtId="0" fontId="2" fillId="4" borderId="0" xfId="0" applyFont="1" applyFill="1" applyAlignment="1">
      <alignment horizontal="left"/>
    </xf>
    <xf numFmtId="0" fontId="3" fillId="2" borderId="0" xfId="0" applyFont="1" applyFill="1"/>
    <xf numFmtId="166" fontId="4" fillId="2" borderId="0" xfId="1" applyNumberFormat="1" applyFont="1" applyFill="1"/>
    <xf numFmtId="0" fontId="4" fillId="2" borderId="0" xfId="0" applyFont="1" applyFill="1"/>
    <xf numFmtId="9" fontId="4" fillId="0" borderId="0" xfId="0" applyNumberFormat="1" applyFont="1"/>
    <xf numFmtId="166" fontId="0" fillId="0" borderId="0" xfId="1" applyNumberFormat="1" applyFont="1" applyAlignment="1">
      <alignment horizontal="right"/>
    </xf>
    <xf numFmtId="0" fontId="3" fillId="0" borderId="3" xfId="0" applyFont="1" applyBorder="1"/>
    <xf numFmtId="166" fontId="3" fillId="0" borderId="3" xfId="1" applyNumberFormat="1" applyFont="1" applyBorder="1"/>
    <xf numFmtId="166" fontId="4" fillId="0" borderId="0" xfId="1" applyNumberFormat="1" applyFont="1"/>
    <xf numFmtId="165" fontId="4" fillId="0" borderId="0" xfId="1" applyNumberFormat="1" applyFont="1"/>
    <xf numFmtId="169" fontId="0" fillId="0" borderId="0" xfId="0" applyNumberFormat="1"/>
    <xf numFmtId="166" fontId="4" fillId="0" borderId="1" xfId="1" applyNumberFormat="1" applyFont="1" applyBorder="1"/>
    <xf numFmtId="166" fontId="0" fillId="0" borderId="0" xfId="1" applyNumberFormat="1" applyFont="1" applyFill="1"/>
    <xf numFmtId="0" fontId="2" fillId="4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right" vertical="center" textRotation="90"/>
    </xf>
    <xf numFmtId="0" fontId="2" fillId="5" borderId="0" xfId="0" applyFont="1" applyFill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6" fontId="0" fillId="0" borderId="0" xfId="0" applyNumberFormat="1" applyFont="1"/>
    <xf numFmtId="166" fontId="0" fillId="2" borderId="0" xfId="1" applyNumberFormat="1" applyFont="1" applyFill="1"/>
    <xf numFmtId="166" fontId="0" fillId="6" borderId="0" xfId="1" applyNumberFormat="1" applyFont="1" applyFill="1"/>
    <xf numFmtId="0" fontId="3" fillId="0" borderId="0" xfId="0" applyFont="1" applyFill="1" applyBorder="1"/>
    <xf numFmtId="166" fontId="3" fillId="0" borderId="0" xfId="1" applyNumberFormat="1" applyFont="1" applyFill="1" applyBorder="1"/>
    <xf numFmtId="166" fontId="3" fillId="0" borderId="6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293D68"/>
      <color rgb="FFFFFF99"/>
      <color rgb="FF0432FF"/>
      <color rgb="FF406C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46EB-28BD-D045-9096-3A32CA66F4F4}">
  <dimension ref="B2:F14"/>
  <sheetViews>
    <sheetView showGridLines="0" zoomScale="150" zoomScaleNormal="150" workbookViewId="0">
      <selection activeCell="C1" sqref="C1"/>
    </sheetView>
  </sheetViews>
  <sheetFormatPr defaultColWidth="11" defaultRowHeight="15.75" x14ac:dyDescent="0.25"/>
  <cols>
    <col min="1" max="1" width="10.875" customWidth="1"/>
    <col min="2" max="2" width="18.625" customWidth="1"/>
    <col min="4" max="4" width="6" customWidth="1"/>
    <col min="5" max="5" width="17.625" bestFit="1" customWidth="1"/>
  </cols>
  <sheetData>
    <row r="2" spans="2:6" s="1" customFormat="1" x14ac:dyDescent="0.25">
      <c r="B2" s="24" t="s">
        <v>1</v>
      </c>
      <c r="C2" s="24"/>
      <c r="D2" s="24"/>
      <c r="E2" s="24"/>
      <c r="F2" s="24"/>
    </row>
    <row r="4" spans="2:6" x14ac:dyDescent="0.25">
      <c r="B4" s="24" t="s">
        <v>19</v>
      </c>
      <c r="C4" s="24"/>
      <c r="E4" s="24" t="s">
        <v>6</v>
      </c>
      <c r="F4" s="24"/>
    </row>
    <row r="5" spans="2:6" x14ac:dyDescent="0.25">
      <c r="B5" t="s">
        <v>22</v>
      </c>
      <c r="C5" s="19">
        <v>25000</v>
      </c>
      <c r="D5" s="19"/>
      <c r="E5" t="s">
        <v>7</v>
      </c>
      <c r="F5" s="3">
        <f>C5*C6</f>
        <v>205332.27848101413</v>
      </c>
    </row>
    <row r="6" spans="2:6" x14ac:dyDescent="0.25">
      <c r="B6" t="s">
        <v>20</v>
      </c>
      <c r="C6" s="20">
        <v>8.2132911392405656</v>
      </c>
      <c r="D6" s="20"/>
      <c r="E6" t="s">
        <v>5</v>
      </c>
      <c r="F6" s="3">
        <f>C5*-C7</f>
        <v>-68750</v>
      </c>
    </row>
    <row r="7" spans="2:6" x14ac:dyDescent="0.25">
      <c r="B7" t="s">
        <v>21</v>
      </c>
      <c r="C7" s="20">
        <v>2.75</v>
      </c>
      <c r="D7" s="20"/>
      <c r="E7" s="17" t="s">
        <v>3</v>
      </c>
      <c r="F7" s="18">
        <f>SUM(F5:F6)</f>
        <v>136582.27848101413</v>
      </c>
    </row>
    <row r="8" spans="2:6" x14ac:dyDescent="0.25">
      <c r="B8" t="s">
        <v>23</v>
      </c>
      <c r="C8" s="19">
        <v>10000</v>
      </c>
      <c r="D8" s="19"/>
      <c r="E8" t="s">
        <v>23</v>
      </c>
      <c r="F8" s="3">
        <f>-C8</f>
        <v>-10000</v>
      </c>
    </row>
    <row r="9" spans="2:6" x14ac:dyDescent="0.25">
      <c r="B9" t="s">
        <v>24</v>
      </c>
      <c r="C9" s="15">
        <v>0.21</v>
      </c>
      <c r="D9" s="15"/>
      <c r="E9" s="17" t="s">
        <v>25</v>
      </c>
      <c r="F9" s="18">
        <f>SUM(F7:F8)</f>
        <v>126582.27848101413</v>
      </c>
    </row>
    <row r="10" spans="2:6" x14ac:dyDescent="0.25">
      <c r="B10" s="2"/>
      <c r="C10" s="20"/>
      <c r="E10" t="s">
        <v>8</v>
      </c>
      <c r="F10" s="16">
        <f>IF(F9&lt;0,"0",F9*-C9)</f>
        <v>-26582.278481012967</v>
      </c>
    </row>
    <row r="11" spans="2:6" x14ac:dyDescent="0.25">
      <c r="B11" s="27" t="s">
        <v>27</v>
      </c>
      <c r="C11" s="27"/>
      <c r="E11" s="9" t="s">
        <v>10</v>
      </c>
      <c r="F11" s="10">
        <f>SUM(F9:F10)</f>
        <v>100000.00000000116</v>
      </c>
    </row>
    <row r="12" spans="2:6" x14ac:dyDescent="0.25">
      <c r="B12" t="s">
        <v>28</v>
      </c>
      <c r="C12">
        <v>100000</v>
      </c>
    </row>
    <row r="13" spans="2:6" x14ac:dyDescent="0.25">
      <c r="B13" t="s">
        <v>29</v>
      </c>
      <c r="C13">
        <v>25000</v>
      </c>
    </row>
    <row r="14" spans="2:6" x14ac:dyDescent="0.25">
      <c r="B14" t="s">
        <v>30</v>
      </c>
      <c r="C14">
        <v>9.99</v>
      </c>
    </row>
  </sheetData>
  <mergeCells count="4">
    <mergeCell ref="B4:C4"/>
    <mergeCell ref="B2:F2"/>
    <mergeCell ref="E4:F4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553E-0EF1-A14C-A178-DFC48A688122}">
  <dimension ref="B2:N11"/>
  <sheetViews>
    <sheetView showGridLines="0" zoomScale="150" zoomScaleNormal="150" workbookViewId="0">
      <selection activeCell="S10" sqref="S10"/>
    </sheetView>
  </sheetViews>
  <sheetFormatPr defaultColWidth="11" defaultRowHeight="15.75" x14ac:dyDescent="0.25"/>
  <cols>
    <col min="2" max="2" width="16.375" customWidth="1"/>
    <col min="3" max="3" width="8" bestFit="1" customWidth="1"/>
    <col min="4" max="4" width="4.625" customWidth="1"/>
    <col min="5" max="5" width="17" customWidth="1"/>
    <col min="6" max="6" width="9" bestFit="1" customWidth="1"/>
    <col min="7" max="7" width="8.875" customWidth="1"/>
    <col min="8" max="8" width="4.5" customWidth="1"/>
    <col min="9" max="9" width="9.125" customWidth="1"/>
  </cols>
  <sheetData>
    <row r="2" spans="2:14" x14ac:dyDescent="0.25">
      <c r="B2" s="24" t="s">
        <v>2</v>
      </c>
      <c r="C2" s="24"/>
      <c r="D2" s="24"/>
      <c r="E2" s="24"/>
      <c r="F2" s="24"/>
      <c r="H2" s="24" t="s">
        <v>26</v>
      </c>
      <c r="I2" s="24"/>
      <c r="J2" s="24"/>
      <c r="K2" s="24"/>
      <c r="L2" s="24"/>
      <c r="M2" s="24"/>
      <c r="N2" s="24"/>
    </row>
    <row r="3" spans="2:14" x14ac:dyDescent="0.25">
      <c r="J3" s="25" t="s">
        <v>17</v>
      </c>
      <c r="K3" s="25"/>
      <c r="L3" s="25"/>
      <c r="M3" s="25"/>
      <c r="N3" s="25"/>
    </row>
    <row r="4" spans="2:14" x14ac:dyDescent="0.25">
      <c r="B4" s="24" t="s">
        <v>19</v>
      </c>
      <c r="C4" s="24"/>
      <c r="E4" s="24" t="s">
        <v>6</v>
      </c>
      <c r="F4" s="24"/>
      <c r="I4" s="30">
        <f>F11</f>
        <v>100000.00000000124</v>
      </c>
      <c r="J4" s="6">
        <f>K4-5000</f>
        <v>15000</v>
      </c>
      <c r="K4" s="6">
        <f>L4-5000</f>
        <v>20000</v>
      </c>
      <c r="L4" s="22">
        <v>25000</v>
      </c>
      <c r="M4" s="6">
        <f>L4+5000</f>
        <v>30000</v>
      </c>
      <c r="N4" s="6">
        <f>M4+5000</f>
        <v>35000</v>
      </c>
    </row>
    <row r="5" spans="2:14" x14ac:dyDescent="0.25">
      <c r="B5" t="s">
        <v>22</v>
      </c>
      <c r="C5" s="19">
        <v>25000</v>
      </c>
      <c r="E5" t="s">
        <v>7</v>
      </c>
      <c r="F5" s="3">
        <f>C5*C6</f>
        <v>205332.27848101422</v>
      </c>
      <c r="H5" s="26" t="s">
        <v>18</v>
      </c>
      <c r="I5" s="29">
        <f>I6-1</f>
        <v>6.2132911392405692</v>
      </c>
      <c r="J5" s="23">
        <f t="dataTable" ref="J5:N9" dt2D="1" dtr="1" r1="C5" r2="C6"/>
        <v>33140.000000000742</v>
      </c>
      <c r="K5" s="23">
        <v>46820.000000000997</v>
      </c>
      <c r="L5" s="23">
        <v>60500.000000001237</v>
      </c>
      <c r="M5" s="23">
        <v>74180.000000001484</v>
      </c>
      <c r="N5" s="23">
        <v>87860.000000001746</v>
      </c>
    </row>
    <row r="6" spans="2:14" x14ac:dyDescent="0.25">
      <c r="B6" t="s">
        <v>20</v>
      </c>
      <c r="C6" s="20">
        <v>8.2132911392405692</v>
      </c>
      <c r="D6" s="20"/>
      <c r="E6" t="s">
        <v>5</v>
      </c>
      <c r="F6" s="3">
        <f>-C5*C7</f>
        <v>-68750</v>
      </c>
      <c r="H6" s="26"/>
      <c r="I6" s="29">
        <f>I7-1</f>
        <v>7.2132911392405692</v>
      </c>
      <c r="J6" s="23">
        <v>44990.000000000742</v>
      </c>
      <c r="K6" s="31">
        <v>62620.00000000099</v>
      </c>
      <c r="L6" s="31">
        <v>80250.000000001237</v>
      </c>
      <c r="M6" s="31">
        <v>97880.000000001484</v>
      </c>
      <c r="N6" s="23">
        <v>115510.00000000175</v>
      </c>
    </row>
    <row r="7" spans="2:14" ht="15.95" customHeight="1" x14ac:dyDescent="0.25">
      <c r="B7" t="s">
        <v>21</v>
      </c>
      <c r="C7" s="20">
        <v>2.75</v>
      </c>
      <c r="E7" s="17" t="s">
        <v>3</v>
      </c>
      <c r="F7" s="18">
        <f>SUM(F5:F6)</f>
        <v>136582.27848101422</v>
      </c>
      <c r="H7" s="26"/>
      <c r="I7" s="28">
        <v>8.2132911392405692</v>
      </c>
      <c r="J7" s="23">
        <v>56840.000000000742</v>
      </c>
      <c r="K7" s="31">
        <v>78420.00000000099</v>
      </c>
      <c r="L7" s="32">
        <v>100000.00000000124</v>
      </c>
      <c r="M7" s="31">
        <v>121580.00000000148</v>
      </c>
      <c r="N7" s="23">
        <v>143160.00000000175</v>
      </c>
    </row>
    <row r="8" spans="2:14" x14ac:dyDescent="0.25">
      <c r="B8" t="s">
        <v>23</v>
      </c>
      <c r="C8" s="19">
        <v>10000</v>
      </c>
      <c r="E8" t="s">
        <v>23</v>
      </c>
      <c r="F8" s="3">
        <f>-C8</f>
        <v>-10000</v>
      </c>
      <c r="H8" s="26"/>
      <c r="I8" s="29">
        <f>I7+1</f>
        <v>9.2132911392405692</v>
      </c>
      <c r="J8" s="23">
        <v>68690.000000000742</v>
      </c>
      <c r="K8" s="31">
        <v>94220.00000000099</v>
      </c>
      <c r="L8" s="31">
        <v>119750.00000000124</v>
      </c>
      <c r="M8" s="31">
        <v>145280.00000000148</v>
      </c>
      <c r="N8" s="23">
        <v>170810.00000000175</v>
      </c>
    </row>
    <row r="9" spans="2:14" x14ac:dyDescent="0.25">
      <c r="B9" t="s">
        <v>24</v>
      </c>
      <c r="C9" s="15">
        <v>0.21</v>
      </c>
      <c r="E9" s="17" t="s">
        <v>25</v>
      </c>
      <c r="F9" s="18">
        <f>SUM(F7:F8)</f>
        <v>126582.27848101422</v>
      </c>
      <c r="H9" s="26"/>
      <c r="I9" s="29">
        <f>I8+1</f>
        <v>10.213291139240569</v>
      </c>
      <c r="J9" s="23">
        <v>80540.000000000742</v>
      </c>
      <c r="K9" s="23">
        <v>110020.00000000099</v>
      </c>
      <c r="L9" s="23">
        <v>139500.00000000122</v>
      </c>
      <c r="M9" s="23">
        <v>168980.00000000148</v>
      </c>
      <c r="N9" s="23">
        <v>198460.00000000175</v>
      </c>
    </row>
    <row r="10" spans="2:14" x14ac:dyDescent="0.25">
      <c r="E10" t="s">
        <v>8</v>
      </c>
      <c r="F10" s="16">
        <f>IF(F9&lt;=0,"0",-C9*F9)</f>
        <v>-26582.278481012985</v>
      </c>
    </row>
    <row r="11" spans="2:14" x14ac:dyDescent="0.25">
      <c r="E11" s="9" t="s">
        <v>10</v>
      </c>
      <c r="F11" s="10">
        <f>SUM(F9:F10)</f>
        <v>100000.00000000124</v>
      </c>
    </row>
  </sheetData>
  <mergeCells count="6">
    <mergeCell ref="J3:N3"/>
    <mergeCell ref="B4:C4"/>
    <mergeCell ref="E4:F4"/>
    <mergeCell ref="B2:F2"/>
    <mergeCell ref="H5:H9"/>
    <mergeCell ref="H2:N2"/>
  </mergeCells>
  <pageMargins left="0.7" right="0.7" top="0.75" bottom="0.75" header="0.3" footer="0.3"/>
  <pageSetup paperSize="9" orientation="portrait" r:id="rId1"/>
  <ignoredErrors>
    <ignoredError sqref="F8 F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9C49-B9BD-B54B-BED3-D93AFB993CBC}">
  <dimension ref="B2:H21"/>
  <sheetViews>
    <sheetView showGridLines="0" tabSelected="1" zoomScale="150" zoomScaleNormal="150" workbookViewId="0">
      <selection activeCell="C5" sqref="C5"/>
    </sheetView>
  </sheetViews>
  <sheetFormatPr defaultColWidth="11" defaultRowHeight="15.75" x14ac:dyDescent="0.25"/>
  <cols>
    <col min="2" max="2" width="21.625" bestFit="1" customWidth="1"/>
  </cols>
  <sheetData>
    <row r="2" spans="2:8" x14ac:dyDescent="0.25">
      <c r="B2" s="24" t="s">
        <v>0</v>
      </c>
      <c r="C2" s="24"/>
      <c r="D2" s="24"/>
      <c r="E2" s="24"/>
    </row>
    <row r="3" spans="2:8" x14ac:dyDescent="0.25">
      <c r="B3" s="11" t="s">
        <v>4</v>
      </c>
      <c r="C3" s="7">
        <v>44562</v>
      </c>
      <c r="D3" s="7">
        <f>EDATE(C3,12)</f>
        <v>44927</v>
      </c>
      <c r="E3" s="7">
        <f>EDATE(D3,12)</f>
        <v>45292</v>
      </c>
    </row>
    <row r="4" spans="2:8" x14ac:dyDescent="0.25">
      <c r="B4" t="s">
        <v>9</v>
      </c>
      <c r="C4" s="3">
        <f>CHOOSE($C$8,C14,C15,C16)</f>
        <v>12500</v>
      </c>
      <c r="D4" s="3">
        <f t="shared" ref="D4:E4" si="0">CHOOSE($C$8,D14,D15,D16)</f>
        <v>13000</v>
      </c>
      <c r="E4" s="3">
        <f t="shared" si="0"/>
        <v>13250</v>
      </c>
    </row>
    <row r="5" spans="2:8" x14ac:dyDescent="0.25">
      <c r="B5" t="s">
        <v>12</v>
      </c>
      <c r="C5" s="3">
        <f>CHOOSE($C$8,C19,C20,C21)</f>
        <v>-22500</v>
      </c>
      <c r="D5" s="3">
        <f t="shared" ref="D5:E5" si="1">CHOOSE($C$8,D19,D20,D21)</f>
        <v>-30000</v>
      </c>
      <c r="E5" s="3">
        <f t="shared" si="1"/>
        <v>-45000</v>
      </c>
    </row>
    <row r="6" spans="2:8" x14ac:dyDescent="0.25">
      <c r="B6" s="9" t="s">
        <v>10</v>
      </c>
      <c r="C6" s="10">
        <f>SUM(C4:C5)</f>
        <v>-10000</v>
      </c>
      <c r="D6" s="10">
        <f t="shared" ref="D6:E6" si="2">SUM(D4:D5)</f>
        <v>-17000</v>
      </c>
      <c r="E6" s="10">
        <f t="shared" si="2"/>
        <v>-31750</v>
      </c>
    </row>
    <row r="7" spans="2:8" x14ac:dyDescent="0.25">
      <c r="B7" s="33"/>
      <c r="C7" s="34"/>
      <c r="D7" s="34"/>
      <c r="E7" s="34"/>
    </row>
    <row r="8" spans="2:8" x14ac:dyDescent="0.25">
      <c r="B8" s="36" t="s">
        <v>32</v>
      </c>
      <c r="C8" s="35">
        <v>3</v>
      </c>
      <c r="D8" s="34"/>
      <c r="E8" s="34"/>
    </row>
    <row r="9" spans="2:8" x14ac:dyDescent="0.25">
      <c r="B9" s="33"/>
      <c r="C9" s="34"/>
      <c r="D9" s="34"/>
      <c r="E9" s="34"/>
    </row>
    <row r="10" spans="2:8" x14ac:dyDescent="0.25">
      <c r="B10" s="33"/>
      <c r="C10" s="34"/>
      <c r="D10" s="34"/>
      <c r="E10" s="34"/>
    </row>
    <row r="11" spans="2:8" x14ac:dyDescent="0.25">
      <c r="B11" s="33"/>
      <c r="C11" s="34"/>
      <c r="D11" s="34"/>
      <c r="E11" s="34"/>
    </row>
    <row r="12" spans="2:8" x14ac:dyDescent="0.25">
      <c r="B12" t="s">
        <v>31</v>
      </c>
    </row>
    <row r="13" spans="2:8" x14ac:dyDescent="0.25">
      <c r="B13" s="12" t="s">
        <v>11</v>
      </c>
      <c r="C13" s="8"/>
      <c r="D13" s="8"/>
      <c r="E13" s="8"/>
    </row>
    <row r="14" spans="2:8" x14ac:dyDescent="0.25">
      <c r="B14" s="5" t="s">
        <v>14</v>
      </c>
      <c r="C14" s="13">
        <v>50000</v>
      </c>
      <c r="D14" s="13">
        <v>125000</v>
      </c>
      <c r="E14" s="13">
        <v>250000</v>
      </c>
      <c r="F14" s="21"/>
      <c r="G14" s="21"/>
      <c r="H14" s="21"/>
    </row>
    <row r="15" spans="2:8" x14ac:dyDescent="0.25">
      <c r="B15" s="5" t="s">
        <v>15</v>
      </c>
      <c r="C15" s="13">
        <v>25000</v>
      </c>
      <c r="D15" s="13">
        <v>37500</v>
      </c>
      <c r="E15" s="13">
        <v>50000</v>
      </c>
      <c r="F15" s="21"/>
      <c r="G15" s="21"/>
      <c r="H15" s="21"/>
    </row>
    <row r="16" spans="2:8" x14ac:dyDescent="0.25">
      <c r="B16" s="5" t="s">
        <v>16</v>
      </c>
      <c r="C16" s="13">
        <v>12500</v>
      </c>
      <c r="D16" s="13">
        <v>13000</v>
      </c>
      <c r="E16" s="13">
        <v>13250</v>
      </c>
      <c r="F16" s="21"/>
      <c r="G16" s="21"/>
      <c r="H16" s="21"/>
    </row>
    <row r="17" spans="2:8" x14ac:dyDescent="0.25">
      <c r="B17" s="4"/>
      <c r="C17" s="14"/>
      <c r="D17" s="14"/>
      <c r="E17" s="14"/>
    </row>
    <row r="18" spans="2:8" x14ac:dyDescent="0.25">
      <c r="B18" s="12" t="s">
        <v>13</v>
      </c>
      <c r="C18" s="14"/>
      <c r="D18" s="14"/>
      <c r="E18" s="14"/>
    </row>
    <row r="19" spans="2:8" x14ac:dyDescent="0.25">
      <c r="B19" s="5" t="s">
        <v>14</v>
      </c>
      <c r="C19" s="13">
        <v>-5000</v>
      </c>
      <c r="D19" s="13">
        <v>-12500</v>
      </c>
      <c r="E19" s="13">
        <v>-25000</v>
      </c>
      <c r="F19" s="21"/>
      <c r="G19" s="21"/>
      <c r="H19" s="21"/>
    </row>
    <row r="20" spans="2:8" x14ac:dyDescent="0.25">
      <c r="B20" s="5" t="s">
        <v>15</v>
      </c>
      <c r="C20" s="13">
        <v>-16000</v>
      </c>
      <c r="D20" s="13">
        <v>-25000</v>
      </c>
      <c r="E20" s="13">
        <v>-37500</v>
      </c>
      <c r="F20" s="21"/>
      <c r="G20" s="21"/>
      <c r="H20" s="21"/>
    </row>
    <row r="21" spans="2:8" x14ac:dyDescent="0.25">
      <c r="B21" s="5" t="s">
        <v>16</v>
      </c>
      <c r="C21" s="13">
        <v>-22500</v>
      </c>
      <c r="D21" s="13">
        <v>-30000</v>
      </c>
      <c r="E21" s="13">
        <v>-45000</v>
      </c>
      <c r="F21" s="21"/>
      <c r="G21" s="21"/>
      <c r="H21" s="21"/>
    </row>
  </sheetData>
  <mergeCells count="1">
    <mergeCell ref="B2:E2"/>
  </mergeCells>
  <dataValidations count="1">
    <dataValidation type="list" allowBlank="1" showInputMessage="1" showErrorMessage="1" sqref="C8" xr:uid="{195F3432-60E5-4576-B802-5FD772DF3E2C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 Seek</vt:lpstr>
      <vt:lpstr>Sensitivity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Harsh Pal</cp:lastModifiedBy>
  <dcterms:created xsi:type="dcterms:W3CDTF">2022-02-16T09:29:36Z</dcterms:created>
  <dcterms:modified xsi:type="dcterms:W3CDTF">2026-01-15T12:04:09Z</dcterms:modified>
</cp:coreProperties>
</file>